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Mobs" sheetId="1" state="visible" r:id="rId3"/>
    <sheet name="Waves" sheetId="2" state="visible" r:id="rId4"/>
    <sheet name="Runes" sheetId="3" state="visible" r:id="rId5"/>
    <sheet name="Global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<sst xmlns="http://schemas.openxmlformats.org/spreadsheetml/2006/main" count="53" uniqueCount="47">
  <si>
    <t xml:space="preserve">id</t>
  </si>
  <si>
    <t xml:space="preserve">hp</t>
  </si>
  <si>
    <t xml:space="preserve">damage</t>
  </si>
  <si>
    <t xml:space="preserve">speed</t>
  </si>
  <si>
    <t xml:space="preserve">size</t>
  </si>
  <si>
    <t xml:space="preserve">mass</t>
  </si>
  <si>
    <t xml:space="preserve">_notes</t>
  </si>
  <si>
    <t xml:space="preserve">ghost</t>
  </si>
  <si>
    <t xml:space="preserve">tower</t>
  </si>
  <si>
    <t xml:space="preserve">static turret</t>
  </si>
  <si>
    <t xml:space="preserve">slime_small</t>
  </si>
  <si>
    <t xml:space="preserve">jumper</t>
  </si>
  <si>
    <t xml:space="preserve">spinner</t>
  </si>
  <si>
    <t xml:space="preserve">static windup -&gt; charge</t>
  </si>
  <si>
    <t xml:space="preserve">wave</t>
  </si>
  <si>
    <t xml:space="preserve">unlocks</t>
  </si>
  <si>
    <t xml:space="preserve">enemy_variety</t>
  </si>
  <si>
    <t xml:space="preserve">max_concurrent</t>
  </si>
  <si>
    <t xml:space="preserve">hp_multiplier</t>
  </si>
  <si>
    <t xml:space="preserve">damage_multiplier</t>
  </si>
  <si>
    <t xml:space="preserve">cost</t>
  </si>
  <si>
    <t xml:space="preserve">spike</t>
  </si>
  <si>
    <t xml:space="preserve">heart_stone</t>
  </si>
  <si>
    <t xml:space="preserve">resonator</t>
  </si>
  <si>
    <t xml:space="preserve">key</t>
  </si>
  <si>
    <t xml:space="preserve">value</t>
  </si>
  <si>
    <t xml:space="preserve">_description</t>
  </si>
  <si>
    <t xml:space="preserve">safe_spawn_radius</t>
  </si>
  <si>
    <t xml:space="preserve">min distance from mob to player at spawn</t>
  </si>
  <si>
    <t xml:space="preserve">arena_width</t>
  </si>
  <si>
    <t xml:space="preserve">fixed arena width</t>
  </si>
  <si>
    <t xml:space="preserve">arena_height</t>
  </si>
  <si>
    <t xml:space="preserve">fixed arena height</t>
  </si>
  <si>
    <t xml:space="preserve">coins_per_kill</t>
  </si>
  <si>
    <t xml:space="preserve">coin drops per mob kill</t>
  </si>
  <si>
    <t xml:space="preserve">coin_attraction_duration</t>
  </si>
  <si>
    <t xml:space="preserve">coin flight duration toward player (s)</t>
  </si>
  <si>
    <t xml:space="preserve">rune_joker_probability</t>
  </si>
  <si>
    <t xml:space="preserve">chance shop slot rolls as joker</t>
  </si>
  <si>
    <t xml:space="preserve">rune_tier_weight_common</t>
  </si>
  <si>
    <t xml:space="preserve">common-tier weight in shop roll</t>
  </si>
  <si>
    <t xml:space="preserve">rune_tier_weight_rare</t>
  </si>
  <si>
    <t xml:space="preserve">rare-tier weight in shop roll</t>
  </si>
  <si>
    <t xml:space="preserve">rune_reroll_base_cost</t>
  </si>
  <si>
    <t xml:space="preserve">cost of first reroll per shop session</t>
  </si>
  <si>
    <t xml:space="preserve">rune_reroll_cost_step</t>
  </si>
  <si>
    <t xml:space="preserve">per-reroll cost increase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</si>
</sst>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11.12"/>
    <col collapsed="false" customWidth="true" hidden="false" outlineLevel="0" max="2" min="2" style="0" width="10.1"/>
    <col collapsed="false" customWidth="true" hidden="false" outlineLevel="0" max="3" min="3" style="0" width="12.01"/>
    <col collapsed="false" customWidth="true" hidden="false" outlineLevel="0" max="4" min="4" style="0" width="12.55"/>
    <col collapsed="false" customWidth="true" hidden="false" outlineLevel="0" max="5" min="5" style="0" width="10.19"/>
    <col collapsed="false" customWidth="true" hidden="false" outlineLevel="0" max="6" min="6" style="0" width="10.01"/>
    <col collapsed="false" customWidth="true" hidden="false" outlineLevel="0" max="7" min="7" style="0" width="22.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5</v>
      </c>
      <c r="C2" s="0" t="n">
        <v>8</v>
      </c>
      <c r="D2" s="0" t="n">
        <v>120</v>
      </c>
      <c r="E2" s="0" t="n">
        <v>150</v>
      </c>
      <c r="F2" s="0" t="n">
        <v>1</v>
      </c>
    </row>
    <row r="3" customFormat="false" ht="15" hidden="false" customHeight="false" outlineLevel="0" collapsed="false">
      <c r="A3" s="0" t="s">
        <v>8</v>
      </c>
      <c r="B3" s="0" t="n">
        <v>15</v>
      </c>
      <c r="C3" s="0" t="n">
        <v>6</v>
      </c>
      <c r="E3" s="0" t="n">
        <v>150</v>
      </c>
      <c r="G3" s="0" t="s">
        <v>9</v>
      </c>
    </row>
    <row r="4" customFormat="false" ht="15" hidden="false" customHeight="false" outlineLevel="0" collapsed="false">
      <c r="A4" s="0" t="s">
        <v>10</v>
      </c>
      <c r="B4" s="0" t="n">
        <v>3</v>
      </c>
      <c r="C4" s="0" t="n">
        <v>5</v>
      </c>
      <c r="D4" s="0" t="n">
        <v>300</v>
      </c>
      <c r="E4" s="0" t="n">
        <v>90</v>
      </c>
      <c r="F4" s="0" t="n">
        <v>1</v>
      </c>
    </row>
    <row r="5" customFormat="false" ht="15" hidden="false" customHeight="false" outlineLevel="0" collapsed="false">
      <c r="A5" s="0" t="s">
        <v>11</v>
      </c>
      <c r="B5" s="0" t="n">
        <v>8</v>
      </c>
      <c r="C5" s="0" t="n">
        <v>8</v>
      </c>
      <c r="D5" s="0" t="n">
        <v>400</v>
      </c>
      <c r="E5" s="0" t="n">
        <v>200</v>
      </c>
      <c r="F5" s="0" t="n">
        <v>10</v>
      </c>
    </row>
    <row r="6" customFormat="false" ht="15" hidden="false" customHeight="false" outlineLevel="0" collapsed="false">
      <c r="A6" s="0" t="s">
        <v>12</v>
      </c>
      <c r="B6" s="0" t="n">
        <v>6</v>
      </c>
      <c r="C6" s="0" t="n">
        <v>10</v>
      </c>
      <c r="E6" s="0" t="n">
        <v>100</v>
      </c>
      <c r="F6" s="0" t="n">
        <v>20</v>
      </c>
      <c r="G6" s="0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8" activeCellId="0" sqref="D28"/>
    </sheetView>
  </sheetViews>
  <sheetFormatPr defaultColWidth="8.453125" defaultRowHeight="15" customHeight="false" zeroHeight="false" outlineLevelRow="0" outlineLevelCol="0"/>
  <cols>
    <col collapsed="false" customWidth="true" hidden="false" outlineLevel="0" max="2" min="2" style="2" width="11.12"/>
    <col collapsed="false" customWidth="true" hidden="false" outlineLevel="0" max="3" min="3" style="0" width="15.03"/>
    <col collapsed="false" customWidth="true" hidden="false" outlineLevel="0" max="4" min="4" style="0" width="16.3"/>
    <col collapsed="false" customWidth="true" hidden="false" outlineLevel="0" max="5" min="5" style="0" width="13.94"/>
    <col collapsed="false" customWidth="true" hidden="false" outlineLevel="0" max="6" min="6" style="0" width="18.85"/>
  </cols>
  <sheetData>
    <row r="1" customFormat="false" ht="15" hidden="false" customHeight="false" outlineLevel="0" collapsed="false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</row>
    <row r="2" customFormat="false" ht="15" hidden="false" customHeight="false" outlineLevel="0" collapsed="false">
      <c r="A2" s="0" t="n">
        <v>1</v>
      </c>
      <c r="B2" s="2" t="s">
        <v>10</v>
      </c>
      <c r="C2" s="0" t="n">
        <v>1</v>
      </c>
      <c r="D2" s="0" t="n">
        <v>5</v>
      </c>
      <c r="E2" s="0" t="n">
        <v>1</v>
      </c>
      <c r="F2" s="0" t="n">
        <v>1</v>
      </c>
    </row>
    <row r="3" customFormat="false" ht="15" hidden="false" customHeight="false" outlineLevel="0" collapsed="false">
      <c r="A3" s="0" t="n">
        <v>2</v>
      </c>
      <c r="B3" s="2" t="s">
        <v>7</v>
      </c>
      <c r="C3" s="0" t="n">
        <v>2</v>
      </c>
      <c r="D3" s="0" t="n">
        <v>6</v>
      </c>
      <c r="E3" s="0" t="n">
        <f aca="false">E2*2</f>
        <v>2</v>
      </c>
      <c r="F3" s="0" t="n">
        <f aca="false">F2*1.2</f>
        <v>1.2</v>
      </c>
    </row>
    <row r="4" customFormat="false" ht="15" hidden="false" customHeight="false" outlineLevel="0" collapsed="false">
      <c r="A4" s="0" t="n">
        <v>3</v>
      </c>
      <c r="C4" s="0" t="n">
        <v>2</v>
      </c>
      <c r="D4" s="0" t="n">
        <v>7</v>
      </c>
      <c r="E4" s="0" t="n">
        <f aca="false">E3*2</f>
        <v>4</v>
      </c>
      <c r="F4" s="0" t="n">
        <f aca="false">F3*1.2</f>
        <v>1.44</v>
      </c>
    </row>
    <row r="5" customFormat="false" ht="15" hidden="false" customHeight="false" outlineLevel="0" collapsed="false">
      <c r="A5" s="0" t="n">
        <v>4</v>
      </c>
      <c r="B5" s="2" t="s">
        <v>11</v>
      </c>
      <c r="C5" s="0" t="n">
        <v>2</v>
      </c>
      <c r="D5" s="0" t="n">
        <v>8</v>
      </c>
      <c r="E5" s="0" t="n">
        <f aca="false">E4*2</f>
        <v>8</v>
      </c>
      <c r="F5" s="0" t="n">
        <f aca="false">F4*1.2</f>
        <v>1.728</v>
      </c>
    </row>
    <row r="6" customFormat="false" ht="15" hidden="false" customHeight="false" outlineLevel="0" collapsed="false">
      <c r="A6" s="0" t="n">
        <v>5</v>
      </c>
      <c r="C6" s="0" t="n">
        <v>2</v>
      </c>
      <c r="D6" s="0" t="n">
        <v>8</v>
      </c>
      <c r="E6" s="0" t="n">
        <f aca="false">E5*2</f>
        <v>16</v>
      </c>
      <c r="F6" s="0" t="n">
        <f aca="false">F5*1.2</f>
        <v>2.0736</v>
      </c>
    </row>
    <row r="7" customFormat="false" ht="15" hidden="false" customHeight="false" outlineLevel="0" collapsed="false">
      <c r="A7" s="0" t="n">
        <v>6</v>
      </c>
      <c r="C7" s="0" t="n">
        <v>3</v>
      </c>
      <c r="D7" s="0" t="n">
        <v>9</v>
      </c>
      <c r="E7" s="0" t="n">
        <f aca="false">E6*2</f>
        <v>32</v>
      </c>
      <c r="F7" s="0" t="n">
        <f aca="false">F6*1.2</f>
        <v>2.48832</v>
      </c>
    </row>
    <row r="8" customFormat="false" ht="15" hidden="false" customHeight="false" outlineLevel="0" collapsed="false">
      <c r="A8" s="0" t="n">
        <v>7</v>
      </c>
      <c r="B8" s="2" t="s">
        <v>8</v>
      </c>
      <c r="C8" s="0" t="n">
        <v>3</v>
      </c>
      <c r="D8" s="0" t="n">
        <v>10</v>
      </c>
      <c r="E8" s="0" t="n">
        <f aca="false">E7*2</f>
        <v>64</v>
      </c>
      <c r="F8" s="0" t="n">
        <f aca="false">F7*1.2</f>
        <v>2.985984</v>
      </c>
    </row>
    <row r="9" customFormat="false" ht="15" hidden="false" customHeight="false" outlineLevel="0" collapsed="false">
      <c r="A9" s="0" t="n">
        <v>8</v>
      </c>
      <c r="C9" s="0" t="n">
        <v>3</v>
      </c>
      <c r="D9" s="0" t="n">
        <v>11</v>
      </c>
      <c r="E9" s="0" t="n">
        <f aca="false">E8*2</f>
        <v>128</v>
      </c>
      <c r="F9" s="0" t="n">
        <f aca="false">F8*1.2</f>
        <v>3.5831808</v>
      </c>
    </row>
    <row r="10" customFormat="false" ht="15" hidden="false" customHeight="false" outlineLevel="0" collapsed="false">
      <c r="A10" s="0" t="n">
        <v>9</v>
      </c>
      <c r="C10" s="0" t="n">
        <v>3</v>
      </c>
      <c r="D10" s="0" t="n">
        <v>12</v>
      </c>
      <c r="E10" s="0" t="n">
        <f aca="false">E9*2</f>
        <v>256</v>
      </c>
      <c r="F10" s="0" t="n">
        <f aca="false">F9*1.2</f>
        <v>4.29981696</v>
      </c>
    </row>
    <row r="11" customFormat="false" ht="15" hidden="false" customHeight="false" outlineLevel="0" collapsed="false">
      <c r="A11" s="0" t="n">
        <v>10</v>
      </c>
      <c r="C11" s="0" t="n">
        <v>4</v>
      </c>
      <c r="D11" s="0" t="n">
        <v>13</v>
      </c>
      <c r="E11" s="0" t="n">
        <f aca="false">E10*2</f>
        <v>512</v>
      </c>
      <c r="F11" s="0" t="n">
        <f aca="false">F10*1.2</f>
        <v>5.159780352</v>
      </c>
    </row>
    <row r="12" customFormat="false" ht="15" hidden="false" customHeight="false" outlineLevel="0" collapsed="false">
      <c r="A12" s="0" t="n">
        <v>11</v>
      </c>
      <c r="C12" s="0" t="n">
        <v>4</v>
      </c>
      <c r="D12" s="0" t="n">
        <v>13</v>
      </c>
      <c r="E12" s="0" t="n">
        <f aca="false">E11*2</f>
        <v>1024</v>
      </c>
      <c r="F12" s="0" t="n">
        <f aca="false">F11*1.2</f>
        <v>6.1917364224</v>
      </c>
    </row>
    <row r="13" customFormat="false" ht="15" hidden="false" customHeight="false" outlineLevel="0" collapsed="false">
      <c r="A13" s="0" t="n">
        <v>12</v>
      </c>
      <c r="C13" s="0" t="n">
        <v>4</v>
      </c>
      <c r="D13" s="0" t="n">
        <v>14</v>
      </c>
      <c r="E13" s="0" t="n">
        <f aca="false">E12*2</f>
        <v>2048</v>
      </c>
      <c r="F13" s="0" t="n">
        <f aca="false">F12*1.2</f>
        <v>7.43008370688</v>
      </c>
    </row>
    <row r="14" customFormat="false" ht="15" hidden="false" customHeight="false" outlineLevel="0" collapsed="false">
      <c r="A14" s="0" t="n">
        <v>13</v>
      </c>
      <c r="B14" s="2" t="s">
        <v>12</v>
      </c>
      <c r="C14" s="0" t="n">
        <v>5</v>
      </c>
      <c r="D14" s="0" t="n">
        <v>15</v>
      </c>
      <c r="E14" s="0" t="n">
        <f aca="false">E13*2</f>
        <v>4096</v>
      </c>
      <c r="F14" s="0" t="n">
        <f aca="false">F13*1.2</f>
        <v>8.916100448256</v>
      </c>
    </row>
    <row r="15" customFormat="false" ht="15" hidden="false" customHeight="false" outlineLevel="0" collapsed="false">
      <c r="A15" s="0" t="n">
        <v>14</v>
      </c>
      <c r="C15" s="0" t="n">
        <v>5</v>
      </c>
      <c r="D15" s="0" t="n">
        <v>16</v>
      </c>
      <c r="E15" s="0" t="n">
        <f aca="false">E14*2</f>
        <v>8192</v>
      </c>
      <c r="F15" s="0" t="n">
        <f aca="false">F14*1.2</f>
        <v>10.6993205379072</v>
      </c>
    </row>
    <row r="16" customFormat="false" ht="15" hidden="false" customHeight="false" outlineLevel="0" collapsed="false">
      <c r="A16" s="0" t="n">
        <v>15</v>
      </c>
      <c r="C16" s="0" t="n">
        <v>5</v>
      </c>
      <c r="D16" s="0" t="n">
        <v>17</v>
      </c>
      <c r="E16" s="0" t="n">
        <f aca="false">E15*2</f>
        <v>16384</v>
      </c>
      <c r="F16" s="0" t="n">
        <f aca="false">F15*1.2</f>
        <v>12.8391846454886</v>
      </c>
    </row>
    <row r="17" customFormat="false" ht="15" hidden="false" customHeight="false" outlineLevel="0" collapsed="false">
      <c r="A17" s="0" t="n">
        <v>16</v>
      </c>
      <c r="C17" s="0" t="n">
        <v>5</v>
      </c>
      <c r="D17" s="0" t="n">
        <v>18</v>
      </c>
      <c r="E17" s="0" t="n">
        <f aca="false">E16*2</f>
        <v>32768</v>
      </c>
      <c r="F17" s="0" t="n">
        <f aca="false">F16*1.2</f>
        <v>15.4070215745864</v>
      </c>
    </row>
    <row r="18" customFormat="false" ht="15" hidden="false" customHeight="false" outlineLevel="0" collapsed="false">
      <c r="A18" s="0" t="n">
        <v>17</v>
      </c>
      <c r="C18" s="0" t="n">
        <v>5</v>
      </c>
      <c r="D18" s="0" t="n">
        <v>18</v>
      </c>
      <c r="E18" s="0" t="n">
        <f aca="false">E17*2</f>
        <v>65536</v>
      </c>
      <c r="F18" s="0" t="n">
        <f aca="false">F17*1.2</f>
        <v>18.4884258895036</v>
      </c>
    </row>
    <row r="19" customFormat="false" ht="15" hidden="false" customHeight="false" outlineLevel="0" collapsed="false">
      <c r="A19" s="0" t="n">
        <v>18</v>
      </c>
      <c r="C19" s="0" t="n">
        <v>5</v>
      </c>
      <c r="D19" s="0" t="n">
        <v>19</v>
      </c>
      <c r="E19" s="0" t="n">
        <f aca="false">E18*2</f>
        <v>131072</v>
      </c>
      <c r="F19" s="0" t="n">
        <f aca="false">F18*1.2</f>
        <v>22.1861110674044</v>
      </c>
    </row>
    <row r="20" customFormat="false" ht="15" hidden="false" customHeight="false" outlineLevel="0" collapsed="false">
      <c r="A20" s="0" t="n">
        <v>19</v>
      </c>
      <c r="C20" s="0" t="n">
        <v>5</v>
      </c>
      <c r="D20" s="0" t="n">
        <v>20</v>
      </c>
      <c r="E20" s="0" t="n">
        <f aca="false">E19*2</f>
        <v>262144</v>
      </c>
      <c r="F20" s="0" t="n">
        <f aca="false">F19*1.2</f>
        <v>26.6233332808852</v>
      </c>
    </row>
    <row r="21" customFormat="false" ht="15" hidden="false" customHeight="false" outlineLevel="0" collapsed="false">
      <c r="A21" s="0" t="n">
        <v>20</v>
      </c>
      <c r="C21" s="0" t="n">
        <v>5</v>
      </c>
      <c r="D21" s="0" t="n">
        <v>21</v>
      </c>
      <c r="E21" s="0" t="n">
        <f aca="false">E20*2</f>
        <v>524288</v>
      </c>
      <c r="F21" s="0" t="n">
        <f aca="false">F20*1.2</f>
        <v>31.9479999370623</v>
      </c>
    </row>
    <row r="22" customFormat="false" ht="15" hidden="false" customHeight="false" outlineLevel="0" collapsed="false">
      <c r="A22" s="0" t="n">
        <v>21</v>
      </c>
      <c r="C22" s="0" t="n">
        <v>5</v>
      </c>
      <c r="D22" s="0" t="n">
        <v>22</v>
      </c>
      <c r="E22" s="0" t="n">
        <f aca="false">E21*2</f>
        <v>1048576</v>
      </c>
      <c r="F22" s="0" t="n">
        <f aca="false">F21*1.2</f>
        <v>38.3375999244747</v>
      </c>
    </row>
    <row r="23" customFormat="false" ht="15" hidden="false" customHeight="false" outlineLevel="0" collapsed="false">
      <c r="A23" s="0" t="n">
        <v>22</v>
      </c>
      <c r="C23" s="0" t="n">
        <v>5</v>
      </c>
      <c r="D23" s="0" t="n">
        <v>23</v>
      </c>
      <c r="E23" s="0" t="n">
        <f aca="false">E22*2</f>
        <v>2097152</v>
      </c>
      <c r="F23" s="0" t="n">
        <f aca="false">F22*1.2</f>
        <v>46.0051199093697</v>
      </c>
    </row>
    <row r="24" customFormat="false" ht="15" hidden="false" customHeight="false" outlineLevel="0" collapsed="false">
      <c r="A24" s="0" t="n">
        <v>23</v>
      </c>
      <c r="C24" s="0" t="n">
        <v>5</v>
      </c>
      <c r="D24" s="0" t="n">
        <v>23</v>
      </c>
      <c r="E24" s="0" t="n">
        <f aca="false">E23*2</f>
        <v>4194304</v>
      </c>
      <c r="F24" s="0" t="n">
        <f aca="false">F23*1.2</f>
        <v>55.2061438912436</v>
      </c>
    </row>
    <row r="25" customFormat="false" ht="15" hidden="false" customHeight="false" outlineLevel="0" collapsed="false">
      <c r="A25" s="0" t="n">
        <v>24</v>
      </c>
      <c r="C25" s="0" t="n">
        <v>5</v>
      </c>
      <c r="D25" s="0" t="n">
        <v>24</v>
      </c>
      <c r="E25" s="0" t="n">
        <f aca="false">E24*2</f>
        <v>8388608</v>
      </c>
      <c r="F25" s="0" t="n">
        <f aca="false">F24*1.2</f>
        <v>66.2473726694923</v>
      </c>
    </row>
    <row r="26" customFormat="false" ht="15" hidden="false" customHeight="false" outlineLevel="0" collapsed="false">
      <c r="A26" s="0" t="n">
        <v>25</v>
      </c>
      <c r="C26" s="0" t="n">
        <v>5</v>
      </c>
      <c r="D26" s="0" t="n">
        <v>25</v>
      </c>
      <c r="E26" s="0" t="n">
        <f aca="false">E25*2</f>
        <v>16777216</v>
      </c>
      <c r="F26" s="0" t="n">
        <f aca="false">F25*1.2</f>
        <v>79.4968472033908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11.48"/>
  </cols>
  <sheetData>
    <row r="1" customFormat="false" ht="15" hidden="false" customHeight="false" outlineLevel="0" collapsed="false">
      <c r="A1" s="3" t="s">
        <v>0</v>
      </c>
      <c r="B1" s="3" t="s">
        <v>20</v>
      </c>
    </row>
    <row r="2" customFormat="false" ht="15" hidden="false" customHeight="false" outlineLevel="0" collapsed="false">
      <c r="A2" s="0" t="s">
        <v>21</v>
      </c>
      <c r="B2" s="0" t="n">
        <v>3</v>
      </c>
    </row>
    <row r="3" customFormat="false" ht="15" hidden="false" customHeight="false" outlineLevel="0" collapsed="false">
      <c r="A3" s="0" t="s">
        <v>22</v>
      </c>
      <c r="B3" s="0" t="n">
        <v>5</v>
      </c>
    </row>
    <row r="4" customFormat="false" ht="15" hidden="false" customHeight="false" outlineLevel="0" collapsed="false">
      <c r="A4" s="0" t="s">
        <v>23</v>
      </c>
      <c r="B4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4" width="24.04"/>
    <col collapsed="false" customWidth="true" hidden="false" outlineLevel="0" max="2" min="2" style="2" width="13.37"/>
    <col collapsed="false" customWidth="true" hidden="false" outlineLevel="0" max="3" min="3" style="0" width="57.14"/>
  </cols>
  <sheetData>
    <row r="1" customFormat="false" ht="15" hidden="false" customHeight="false" outlineLevel="0" collapsed="false">
      <c r="A1" s="1" t="s">
        <v>24</v>
      </c>
      <c r="B1" s="5" t="s">
        <v>25</v>
      </c>
      <c r="C1" s="3" t="s">
        <v>26</v>
      </c>
    </row>
    <row r="2" customFormat="false" ht="15" hidden="false" customHeight="false" outlineLevel="0" collapsed="false">
      <c r="A2" s="4" t="s">
        <v>27</v>
      </c>
      <c r="B2" s="2" t="n">
        <v>150</v>
      </c>
      <c r="C2" s="0" t="s">
        <v>28</v>
      </c>
    </row>
    <row r="3" customFormat="false" ht="15" hidden="false" customHeight="false" outlineLevel="0" collapsed="false">
      <c r="A3" s="4" t="s">
        <v>29</v>
      </c>
      <c r="B3" s="2" t="n">
        <v>1800</v>
      </c>
      <c r="C3" s="0" t="s">
        <v>30</v>
      </c>
    </row>
    <row r="4" customFormat="false" ht="15" hidden="false" customHeight="false" outlineLevel="0" collapsed="false">
      <c r="A4" s="4" t="s">
        <v>31</v>
      </c>
      <c r="B4" s="2" t="n">
        <v>1800</v>
      </c>
      <c r="C4" s="0" t="s">
        <v>32</v>
      </c>
    </row>
    <row r="5" customFormat="false" ht="15" hidden="false" customHeight="false" outlineLevel="0" collapsed="false">
      <c r="A5" s="4" t="s">
        <v>33</v>
      </c>
      <c r="B5" s="2" t="n">
        <v>1</v>
      </c>
      <c r="C5" s="0" t="s">
        <v>34</v>
      </c>
    </row>
    <row r="6" customFormat="false" ht="15" hidden="false" customHeight="false" outlineLevel="0" collapsed="false">
      <c r="A6" s="4" t="s">
        <v>35</v>
      </c>
      <c r="B6" s="2" t="n">
        <v>0.5</v>
      </c>
      <c r="C6" s="0" t="s">
        <v>36</v>
      </c>
    </row>
    <row r="7" customFormat="false" ht="15" hidden="false" customHeight="false" outlineLevel="0" collapsed="false">
      <c r="A7" s="4" t="s">
        <v>37</v>
      </c>
      <c r="B7" s="2" t="n">
        <v>0.1</v>
      </c>
      <c r="C7" s="0" t="s">
        <v>38</v>
      </c>
    </row>
    <row r="8" customFormat="false" ht="15" hidden="false" customHeight="false" outlineLevel="0" collapsed="false">
      <c r="A8" s="4" t="s">
        <v>39</v>
      </c>
      <c r="B8" s="2" t="n">
        <v>60</v>
      </c>
      <c r="C8" s="0" t="s">
        <v>40</v>
      </c>
    </row>
    <row r="9" customFormat="false" ht="15" hidden="false" customHeight="false" outlineLevel="0" collapsed="false">
      <c r="A9" s="4" t="s">
        <v>41</v>
      </c>
      <c r="B9" s="2" t="n">
        <v>30</v>
      </c>
      <c r="C9" s="0" t="s">
        <v>42</v>
      </c>
    </row>
    <row r="10" customFormat="false" ht="15" hidden="false" customHeight="false" outlineLevel="0" collapsed="false">
      <c r="A10" s="4" t="s">
        <v>43</v>
      </c>
      <c r="B10" s="2" t="n">
        <v>2</v>
      </c>
      <c r="C10" s="0" t="s">
        <v>44</v>
      </c>
    </row>
    <row r="11" customFormat="false" ht="15" hidden="false" customHeight="false" outlineLevel="0" collapsed="false">
      <c r="A11" s="4" t="s">
        <v>45</v>
      </c>
      <c r="B11" s="2" t="n">
        <v>1</v>
      </c>
      <c r="C11" s="0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2026-04-19T08:25:54Z</dcterms:created>
  <dc:creator>openpyxl</dc:creator>
  <dc:description/>
  <dc:language>ru-RU</dc:language>
  <cp:lastModifiedBy/>
  <dcterms:modified xsi:type="dcterms:W3CDTF">2026-04-19T12:24:02Z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